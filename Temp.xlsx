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rver\Desktop\"/>
    </mc:Choice>
  </mc:AlternateContent>
  <bookViews>
    <workbookView xWindow="0" yWindow="0" windowWidth="28800" windowHeight="12435"/>
  </bookViews>
  <sheets>
    <sheet name="THEO DÕI" sheetId="1" r:id="rId1"/>
  </sheets>
  <definedNames>
    <definedName name="_xlnm._FilterDatabase" localSheetId="0" hidden="1">'THEO DÕI'!$A$2:$BH$12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4" i="1"/>
  <c r="F5" i="1"/>
  <c r="F4" i="1"/>
  <c r="V11" i="1" l="1"/>
  <c r="V10" i="1"/>
  <c r="V9" i="1"/>
  <c r="V8" i="1"/>
  <c r="V7" i="1"/>
  <c r="V6" i="1"/>
  <c r="V5" i="1"/>
  <c r="V4" i="1"/>
</calcChain>
</file>

<file path=xl/sharedStrings.xml><?xml version="1.0" encoding="utf-8"?>
<sst xmlns="http://schemas.openxmlformats.org/spreadsheetml/2006/main" count="137" uniqueCount="48">
  <si>
    <t>DATE</t>
  </si>
  <si>
    <t>Tỷ Giá 
VCB</t>
  </si>
  <si>
    <t>DOLLAR INDEX</t>
  </si>
  <si>
    <t>CAO
(high)</t>
  </si>
  <si>
    <t>THẤP
(low)</t>
  </si>
  <si>
    <t>THAY ĐỔI</t>
  </si>
  <si>
    <t>https://www.investing.com/rates-bonds/u.s.-10-year-bond-yield-historical-data</t>
  </si>
  <si>
    <t>https://www.investing.com/indices/usdollar-historical-data</t>
  </si>
  <si>
    <t>GIÁ DẦU</t>
  </si>
  <si>
    <t>https://www.investing.com/commodities/crude-oil-historical-data</t>
  </si>
  <si>
    <t>S&amp;P 500</t>
  </si>
  <si>
    <t>https://www.investing.com/indices/us-spx-500-historical-data</t>
  </si>
  <si>
    <t>https://www.investing.com/currencies/xau-usd-historical-data</t>
  </si>
  <si>
    <t>https://www.vietcombank.com.vn/vi-VN/KHCN/Cong-cu-Tien-ich/Ty-gia</t>
  </si>
  <si>
    <t>https://cafef.vn/du-lieu/gia-vang-hom-nay/trong-nuoc.chn</t>
  </si>
  <si>
    <t>ĐÓNG</t>
  </si>
  <si>
    <t>KITCO - GIÁ VÀNG THẾ GIỚI</t>
  </si>
  <si>
    <t>MUA - mạnh hải</t>
  </si>
  <si>
    <t>BÁN - mạnh hải</t>
  </si>
  <si>
    <t>MỞ</t>
  </si>
  <si>
    <t>24h 
(h kitco)</t>
  </si>
  <si>
    <t>thứ</t>
  </si>
  <si>
    <t>hai</t>
  </si>
  <si>
    <t>ba</t>
  </si>
  <si>
    <t>tư</t>
  </si>
  <si>
    <t>năm</t>
  </si>
  <si>
    <t>sáu</t>
  </si>
  <si>
    <t>bảy</t>
  </si>
  <si>
    <t>chủ nhật</t>
  </si>
  <si>
    <t>-
(kitco nghỉ )</t>
  </si>
  <si>
    <t>0h 
(h investing)</t>
  </si>
  <si>
    <t>24h 
(h investing)</t>
  </si>
  <si>
    <t>11h
(việt nam)</t>
  </si>
  <si>
    <t>14h30
(việt nam)</t>
  </si>
  <si>
    <t>0h 
(kitco)</t>
  </si>
  <si>
    <t>17h30
(việt nam)</t>
  </si>
  <si>
    <t>24h 
(kitco)</t>
  </si>
  <si>
    <t>9h
(việt nam)</t>
  </si>
  <si>
    <t>18h 
(kitco)</t>
  </si>
  <si>
    <t>MỞ
(open)</t>
  </si>
  <si>
    <t>ĐÓNG
(price)</t>
  </si>
  <si>
    <t>THAY ĐỔI 
(change)</t>
  </si>
  <si>
    <t>THAY ĐỔI
(change)</t>
  </si>
  <si>
    <t>TRÁI PHIẾU US - 10 năm</t>
  </si>
  <si>
    <t>https://vietnamnet.vn/gia-vang-hom-nay-5-10-len-dinh-3-tuan-vang-tren-da-tang-manh-2066778.html</t>
  </si>
  <si>
    <t>https://baotinmanhhai.vn/gia-vang-hom-nay</t>
  </si>
  <si>
    <t>CHÊNH LỆCH</t>
  </si>
  <si>
    <t>17h
(kitco)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</si>
</sst>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14"/>
      <color rgb="FFFF0000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5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5" fontId="3" fillId="0" borderId="0" xfId="1" applyNumberFormat="1" applyFont="1" applyFill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5" fontId="3" fillId="0" borderId="0" xfId="1" applyNumberFormat="1" applyFont="1" applyFill="1" applyAlignment="1">
      <alignment vertical="center"/>
    </xf>
    <xf numFmtId="165" fontId="3" fillId="4" borderId="0" xfId="1" applyNumberFormat="1" applyFont="1" applyFill="1" applyAlignment="1">
      <alignment vertical="center"/>
    </xf>
    <xf numFmtId="165" fontId="5" fillId="4" borderId="1" xfId="1" applyNumberFormat="1" applyFont="1" applyFill="1" applyBorder="1" applyAlignment="1">
      <alignment horizontal="center" vertical="center" wrapText="1"/>
    </xf>
    <xf numFmtId="165" fontId="4" fillId="4" borderId="2" xfId="1" applyNumberFormat="1" applyFont="1" applyFill="1" applyBorder="1" applyAlignment="1">
      <alignment vertical="center" wrapText="1"/>
    </xf>
    <xf numFmtId="165" fontId="3" fillId="0" borderId="0" xfId="1" applyNumberFormat="1" applyFont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0" borderId="0" xfId="2" applyAlignment="1">
      <alignment horizontal="center" vertical="center" wrapText="1"/>
    </xf>
    <xf numFmtId="1" fontId="6" fillId="0" borderId="0" xfId="2" applyNumberFormat="1" applyAlignment="1">
      <alignment horizontal="center" vertical="center" wrapText="1"/>
    </xf>
    <xf numFmtId="0" fontId="6" fillId="0" borderId="0" xfId="2" applyFill="1" applyAlignment="1">
      <alignment vertical="center" wrapText="1"/>
    </xf>
    <xf numFmtId="165" fontId="2" fillId="0" borderId="0" xfId="1" applyNumberFormat="1" applyFont="1" applyFill="1" applyAlignment="1">
      <alignment horizontal="right" vertical="center" wrapText="1"/>
    </xf>
    <xf numFmtId="165" fontId="8" fillId="0" borderId="1" xfId="1" applyNumberFormat="1" applyFont="1" applyFill="1" applyBorder="1" applyAlignment="1">
      <alignment horizontal="center" vertical="center" wrapText="1"/>
    </xf>
    <xf numFmtId="165" fontId="3" fillId="0" borderId="0" xfId="1" applyNumberFormat="1" applyFont="1" applyFill="1" applyAlignment="1">
      <alignment horizontal="right" vertical="center" wrapText="1"/>
    </xf>
    <xf numFmtId="165" fontId="6" fillId="0" borderId="0" xfId="2" applyNumberFormat="1" applyFill="1" applyAlignment="1">
      <alignment horizontal="right" vertical="center" wrapText="1"/>
    </xf>
    <xf numFmtId="165" fontId="6" fillId="0" borderId="0" xfId="2" applyNumberFormat="1" applyFill="1" applyAlignment="1">
      <alignment horizontal="right" vertical="center"/>
    </xf>
    <xf numFmtId="165" fontId="9" fillId="2" borderId="1" xfId="1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" fontId="3" fillId="3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1" fontId="6" fillId="3" borderId="0" xfId="2" applyNumberForma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14" fontId="3" fillId="3" borderId="0" xfId="0" quotePrefix="1" applyNumberFormat="1" applyFont="1" applyFill="1" applyAlignment="1">
      <alignment horizontal="center" vertical="center"/>
    </xf>
    <xf numFmtId="165" fontId="8" fillId="0" borderId="0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Fill="1" applyAlignment="1">
      <alignment horizontal="center" vertical="center" wrapText="1"/>
    </xf>
    <xf numFmtId="165" fontId="3" fillId="0" borderId="0" xfId="1" applyNumberFormat="1" applyFont="1" applyFill="1" applyAlignment="1">
      <alignment horizontal="center" vertical="center" wrapText="1"/>
    </xf>
    <xf numFmtId="165" fontId="6" fillId="0" borderId="0" xfId="2" applyNumberFormat="1" applyFill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65" fontId="3" fillId="0" borderId="0" xfId="1" applyNumberFormat="1" applyFont="1" applyFill="1" applyBorder="1" applyAlignment="1">
      <alignment horizontal="center" vertical="center" wrapText="1"/>
    </xf>
    <xf numFmtId="165" fontId="3" fillId="0" borderId="0" xfId="1" quotePrefix="1" applyNumberFormat="1" applyFont="1" applyFill="1" applyBorder="1" applyAlignment="1">
      <alignment horizontal="center" vertical="center" wrapText="1"/>
    </xf>
    <xf numFmtId="165" fontId="9" fillId="2" borderId="1" xfId="1" applyNumberFormat="1" applyFont="1" applyFill="1" applyBorder="1" applyAlignment="1">
      <alignment horizontal="center" vertical="center" wrapText="1"/>
    </xf>
    <xf numFmtId="165" fontId="9" fillId="2" borderId="1" xfId="1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165" fontId="7" fillId="5" borderId="1" xfId="1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165" fontId="4" fillId="4" borderId="6" xfId="1" applyNumberFormat="1" applyFont="1" applyFill="1" applyBorder="1" applyAlignment="1">
      <alignment vertical="center" wrapText="1"/>
    </xf>
    <xf numFmtId="165" fontId="8" fillId="0" borderId="7" xfId="1" applyNumberFormat="1" applyFont="1" applyFill="1" applyBorder="1" applyAlignment="1">
      <alignment horizontal="center" vertical="center" wrapText="1"/>
    </xf>
    <xf numFmtId="165" fontId="3" fillId="0" borderId="0" xfId="1" applyNumberFormat="1" applyFont="1" applyBorder="1" applyAlignment="1">
      <alignment horizontal="center" vertical="center"/>
    </xf>
    <xf numFmtId="165" fontId="3" fillId="0" borderId="0" xfId="1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165" fontId="9" fillId="2" borderId="3" xfId="1" applyNumberFormat="1" applyFont="1" applyFill="1" applyBorder="1" applyAlignment="1">
      <alignment horizontal="center" vertical="center" wrapText="1"/>
    </xf>
    <xf numFmtId="165" fontId="9" fillId="2" borderId="4" xfId="1" applyNumberFormat="1" applyFont="1" applyFill="1" applyBorder="1" applyAlignment="1">
      <alignment horizontal="center" vertical="center" wrapText="1"/>
    </xf>
    <xf numFmtId="165" fontId="9" fillId="2" borderId="5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etnamnet.vn/gia-vang-hom-nay-5-10-len-dinh-3-tuan-vang-tren-da-tang-manh-2066778.html" TargetMode="External"/><Relationship Id="rId3" Type="http://schemas.openxmlformats.org/officeDocument/2006/relationships/hyperlink" Target="https://www.investing.com/indices/us-spx-500-historical-data" TargetMode="External"/><Relationship Id="rId7" Type="http://schemas.openxmlformats.org/officeDocument/2006/relationships/hyperlink" Target="https://www.investing.com/indices/usdollar-historical-data" TargetMode="External"/><Relationship Id="rId2" Type="http://schemas.openxmlformats.org/officeDocument/2006/relationships/hyperlink" Target="https://www.investing.com/commodities/crude-oil-historical-data" TargetMode="External"/><Relationship Id="rId1" Type="http://schemas.openxmlformats.org/officeDocument/2006/relationships/hyperlink" Target="https://www.investing.com/rates-bonds/u.s.-10-year-bond-yield-historical-data" TargetMode="External"/><Relationship Id="rId6" Type="http://schemas.openxmlformats.org/officeDocument/2006/relationships/hyperlink" Target="https://cafef.vn/du-lieu/gia-vang-hom-nay/trong-nuoc.chn" TargetMode="External"/><Relationship Id="rId5" Type="http://schemas.openxmlformats.org/officeDocument/2006/relationships/hyperlink" Target="https://www.vietcombank.com.vn/vi-VN/KHCN/Cong-cu-Tien-ich/Ty-gia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investing.com/currencies/xau-usd-historical-data" TargetMode="External"/><Relationship Id="rId9" Type="http://schemas.openxmlformats.org/officeDocument/2006/relationships/hyperlink" Target="https://baotinmanhhai.vn/gia-vang-hom-n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H78"/>
  <sheetViews>
    <sheetView tabSelected="1" workbookViewId="0">
      <pane ySplit="4" topLeftCell="A5" activePane="bottomLeft" state="frozen"/>
      <selection pane="bottomLeft" activeCell="G7" sqref="G7:G9"/>
    </sheetView>
  </sheetViews>
  <sheetFormatPr defaultRowHeight="15" x14ac:dyDescent="0.25"/>
  <cols>
    <col min="1" max="1" width="2.42578125" style="8" customWidth="1"/>
    <col min="2" max="6" width="13" style="11" customWidth="1"/>
    <col min="7" max="11" width="13" style="19" customWidth="1"/>
    <col min="12" max="12" width="13.85546875" style="35" customWidth="1"/>
    <col min="13" max="13" width="12.28515625" style="26" customWidth="1"/>
    <col min="14" max="21" width="12.5703125" style="2" customWidth="1"/>
    <col min="22" max="22" width="15.140625" style="2" customWidth="1"/>
    <col min="23" max="23" width="11.140625" style="1" customWidth="1"/>
    <col min="24" max="27" width="11.42578125" style="1" customWidth="1"/>
    <col min="28" max="30" width="10.28515625" style="1" customWidth="1"/>
    <col min="31" max="31" width="15.42578125" style="1" customWidth="1"/>
    <col min="32" max="59" width="10.7109375" style="1" customWidth="1"/>
    <col min="60" max="60" width="10.85546875" style="12" customWidth="1"/>
    <col min="61" max="16384" width="9.140625" style="3"/>
  </cols>
  <sheetData>
    <row r="2" spans="1:60" ht="42.75" customHeight="1" x14ac:dyDescent="0.25">
      <c r="B2" s="54" t="s">
        <v>17</v>
      </c>
      <c r="C2" s="55"/>
      <c r="D2" s="55"/>
      <c r="E2" s="55"/>
      <c r="F2" s="56"/>
      <c r="G2" s="54" t="s">
        <v>18</v>
      </c>
      <c r="H2" s="55"/>
      <c r="I2" s="55"/>
      <c r="J2" s="55"/>
      <c r="K2" s="56"/>
      <c r="L2" s="24" t="s">
        <v>21</v>
      </c>
      <c r="M2" s="27" t="s">
        <v>0</v>
      </c>
      <c r="N2" s="50" t="s">
        <v>16</v>
      </c>
      <c r="O2" s="51"/>
      <c r="P2" s="51"/>
      <c r="Q2" s="51"/>
      <c r="R2" s="51"/>
      <c r="S2" s="51"/>
      <c r="T2" s="51"/>
      <c r="U2" s="51"/>
      <c r="V2" s="52"/>
      <c r="W2" s="53" t="s">
        <v>8</v>
      </c>
      <c r="X2" s="53"/>
      <c r="Y2" s="53"/>
      <c r="Z2" s="53"/>
      <c r="AA2" s="53"/>
      <c r="AB2" s="53"/>
      <c r="AC2" s="53"/>
      <c r="AD2" s="53"/>
      <c r="AE2" s="53"/>
      <c r="AF2" s="53" t="s">
        <v>2</v>
      </c>
      <c r="AG2" s="53"/>
      <c r="AH2" s="53"/>
      <c r="AI2" s="53"/>
      <c r="AJ2" s="53"/>
      <c r="AK2" s="53"/>
      <c r="AL2" s="53"/>
      <c r="AM2" s="53"/>
      <c r="AN2" s="53"/>
      <c r="AO2" s="53" t="s">
        <v>43</v>
      </c>
      <c r="AP2" s="53"/>
      <c r="AQ2" s="53"/>
      <c r="AR2" s="53"/>
      <c r="AS2" s="53"/>
      <c r="AT2" s="53"/>
      <c r="AU2" s="53"/>
      <c r="AV2" s="53"/>
      <c r="AW2" s="53"/>
      <c r="AX2" s="53" t="s">
        <v>10</v>
      </c>
      <c r="AY2" s="53"/>
      <c r="AZ2" s="53"/>
      <c r="BA2" s="53"/>
      <c r="BB2" s="53"/>
      <c r="BC2" s="53"/>
      <c r="BD2" s="53"/>
      <c r="BE2" s="53"/>
      <c r="BF2" s="53"/>
      <c r="BG2" s="43"/>
      <c r="BH2" s="13" t="s">
        <v>1</v>
      </c>
    </row>
    <row r="3" spans="1:60" ht="42.75" customHeight="1" x14ac:dyDescent="0.25">
      <c r="B3" s="41" t="s">
        <v>19</v>
      </c>
      <c r="C3" s="41"/>
      <c r="D3" s="41"/>
      <c r="E3" s="41" t="s">
        <v>15</v>
      </c>
      <c r="F3" s="41" t="s">
        <v>46</v>
      </c>
      <c r="G3" s="41" t="s">
        <v>19</v>
      </c>
      <c r="H3" s="41"/>
      <c r="I3" s="41"/>
      <c r="J3" s="41" t="s">
        <v>15</v>
      </c>
      <c r="K3" s="42" t="s">
        <v>46</v>
      </c>
      <c r="M3" s="31"/>
      <c r="N3" s="44" t="s">
        <v>39</v>
      </c>
      <c r="O3" s="32"/>
      <c r="P3" s="32"/>
      <c r="Q3" s="32"/>
      <c r="R3" s="32"/>
      <c r="S3" s="44" t="s">
        <v>40</v>
      </c>
      <c r="T3" s="32" t="s">
        <v>3</v>
      </c>
      <c r="U3" s="32" t="s">
        <v>4</v>
      </c>
      <c r="V3" s="32" t="s">
        <v>41</v>
      </c>
      <c r="W3" s="32" t="s">
        <v>39</v>
      </c>
      <c r="X3" s="45"/>
      <c r="Y3" s="15"/>
      <c r="Z3" s="15"/>
      <c r="AA3" s="45"/>
      <c r="AB3" s="32" t="s">
        <v>40</v>
      </c>
      <c r="AC3" s="32" t="s">
        <v>3</v>
      </c>
      <c r="AD3" s="32" t="s">
        <v>4</v>
      </c>
      <c r="AE3" s="32" t="s">
        <v>42</v>
      </c>
      <c r="AF3" s="45" t="s">
        <v>19</v>
      </c>
      <c r="AG3" s="45"/>
      <c r="AH3" s="15"/>
      <c r="AI3" s="15"/>
      <c r="AJ3" s="45"/>
      <c r="AK3" s="32" t="s">
        <v>15</v>
      </c>
      <c r="AL3" s="32" t="s">
        <v>3</v>
      </c>
      <c r="AM3" s="32" t="s">
        <v>4</v>
      </c>
      <c r="AN3" s="32" t="s">
        <v>5</v>
      </c>
      <c r="AO3" s="45" t="s">
        <v>19</v>
      </c>
      <c r="AP3" s="45"/>
      <c r="AQ3" s="15"/>
      <c r="AR3" s="15"/>
      <c r="AS3" s="45"/>
      <c r="AT3" s="32" t="s">
        <v>15</v>
      </c>
      <c r="AU3" s="32" t="s">
        <v>3</v>
      </c>
      <c r="AV3" s="32" t="s">
        <v>4</v>
      </c>
      <c r="AW3" s="32" t="s">
        <v>5</v>
      </c>
      <c r="AX3" s="45" t="s">
        <v>19</v>
      </c>
      <c r="AY3" s="45"/>
      <c r="AZ3" s="15"/>
      <c r="BA3" s="15"/>
      <c r="BB3" s="45"/>
      <c r="BC3" s="32" t="s">
        <v>15</v>
      </c>
      <c r="BD3" s="32" t="s">
        <v>3</v>
      </c>
      <c r="BE3" s="32" t="s">
        <v>4</v>
      </c>
      <c r="BF3" s="32" t="s">
        <v>5</v>
      </c>
      <c r="BG3" s="32"/>
    </row>
    <row r="4" spans="1:60" s="1" customFormat="1" ht="59.25" customHeight="1" x14ac:dyDescent="0.25">
      <c r="A4" s="9"/>
      <c r="B4" s="47" t="s">
        <v>37</v>
      </c>
      <c r="C4" s="47" t="s">
        <v>32</v>
      </c>
      <c r="D4" s="47" t="s">
        <v>33</v>
      </c>
      <c r="E4" s="47" t="s">
        <v>35</v>
      </c>
      <c r="F4" s="47" t="e">
        <f>E4-B4</f>
        <v>#VALUE!</v>
      </c>
      <c r="G4" s="47" t="s">
        <v>37</v>
      </c>
      <c r="H4" s="47" t="s">
        <v>32</v>
      </c>
      <c r="I4" s="47" t="s">
        <v>33</v>
      </c>
      <c r="J4" s="47" t="s">
        <v>35</v>
      </c>
      <c r="K4" s="20" t="e">
        <f>J4-G4</f>
        <v>#VALUE!</v>
      </c>
      <c r="M4" s="28"/>
      <c r="N4" s="25" t="s">
        <v>34</v>
      </c>
      <c r="O4" s="20" t="s">
        <v>37</v>
      </c>
      <c r="P4" s="20" t="s">
        <v>32</v>
      </c>
      <c r="Q4" s="20" t="s">
        <v>33</v>
      </c>
      <c r="R4" s="20" t="s">
        <v>35</v>
      </c>
      <c r="S4" s="25" t="s">
        <v>36</v>
      </c>
      <c r="V4" s="1" t="e">
        <f>(S4-N4)/N4*100</f>
        <v>#VALUE!</v>
      </c>
      <c r="W4" s="25" t="s">
        <v>30</v>
      </c>
      <c r="X4" s="20" t="s">
        <v>37</v>
      </c>
      <c r="Y4" s="20" t="s">
        <v>32</v>
      </c>
      <c r="Z4" s="20" t="s">
        <v>33</v>
      </c>
      <c r="AA4" s="20" t="s">
        <v>35</v>
      </c>
      <c r="AB4" s="25" t="s">
        <v>31</v>
      </c>
      <c r="AC4" s="25"/>
      <c r="AD4" s="25"/>
      <c r="AE4" s="25"/>
      <c r="AF4" s="25" t="s">
        <v>30</v>
      </c>
      <c r="AG4" s="20" t="s">
        <v>37</v>
      </c>
      <c r="AH4" s="20" t="s">
        <v>32</v>
      </c>
      <c r="AI4" s="20" t="s">
        <v>33</v>
      </c>
      <c r="AJ4" s="20" t="s">
        <v>35</v>
      </c>
      <c r="AK4" s="25" t="s">
        <v>31</v>
      </c>
      <c r="AL4" s="25"/>
      <c r="AM4" s="25"/>
      <c r="AN4" s="25"/>
      <c r="AO4" s="25" t="s">
        <v>30</v>
      </c>
      <c r="AP4" s="20" t="s">
        <v>37</v>
      </c>
      <c r="AQ4" s="20" t="s">
        <v>32</v>
      </c>
      <c r="AR4" s="20" t="s">
        <v>33</v>
      </c>
      <c r="AS4" s="20" t="s">
        <v>35</v>
      </c>
      <c r="AT4" s="25" t="s">
        <v>31</v>
      </c>
      <c r="AU4" s="25"/>
      <c r="AV4" s="25"/>
      <c r="AW4" s="25"/>
      <c r="AX4" s="25" t="s">
        <v>30</v>
      </c>
      <c r="AY4" s="20" t="s">
        <v>37</v>
      </c>
      <c r="AZ4" s="20" t="s">
        <v>32</v>
      </c>
      <c r="BA4" s="20" t="s">
        <v>33</v>
      </c>
      <c r="BB4" s="20" t="s">
        <v>35</v>
      </c>
      <c r="BC4" s="25" t="s">
        <v>31</v>
      </c>
      <c r="BD4" s="25"/>
      <c r="BE4" s="25"/>
      <c r="BF4" s="25"/>
      <c r="BG4" s="25"/>
    </row>
    <row r="5" spans="1:60" ht="45.75" customHeight="1" x14ac:dyDescent="0.25">
      <c r="A5" s="46"/>
      <c r="B5" s="48">
        <v>18010000</v>
      </c>
      <c r="C5" s="48">
        <v>18250000</v>
      </c>
      <c r="D5" s="48">
        <v>18101000</v>
      </c>
      <c r="E5" s="48">
        <v>18200000</v>
      </c>
      <c r="F5" s="34">
        <f>E5-B5</f>
        <v>190000</v>
      </c>
      <c r="G5" s="49">
        <v>18450000</v>
      </c>
      <c r="H5" s="49">
        <v>18440000</v>
      </c>
      <c r="I5" s="49">
        <v>18200000</v>
      </c>
      <c r="J5" s="49">
        <v>18625000</v>
      </c>
      <c r="K5" s="34">
        <f>J5-G5</f>
        <v>175000</v>
      </c>
      <c r="L5" s="4" t="s">
        <v>22</v>
      </c>
      <c r="M5" s="33">
        <v>46097</v>
      </c>
      <c r="N5" s="38" t="s">
        <v>34</v>
      </c>
      <c r="O5" s="34" t="s">
        <v>37</v>
      </c>
      <c r="P5" s="34" t="s">
        <v>32</v>
      </c>
      <c r="Q5" s="34" t="s">
        <v>33</v>
      </c>
      <c r="R5" s="34" t="s">
        <v>35</v>
      </c>
      <c r="S5" s="38" t="s">
        <v>36</v>
      </c>
      <c r="T5" s="4"/>
      <c r="U5" s="4"/>
      <c r="V5" s="1" t="e">
        <f t="shared" ref="V5:V11" si="0">(S5-N5)/N5*100</f>
        <v>#VALUE!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7"/>
    </row>
    <row r="6" spans="1:60" ht="45.75" customHeight="1" x14ac:dyDescent="0.25">
      <c r="A6" s="10"/>
      <c r="B6" s="1"/>
      <c r="C6" s="1"/>
      <c r="D6" s="1"/>
      <c r="E6" s="1"/>
      <c r="F6" s="1"/>
      <c r="G6" s="7"/>
      <c r="H6" s="7"/>
      <c r="I6" s="7"/>
      <c r="J6" s="7"/>
      <c r="K6" s="7"/>
      <c r="L6" s="4" t="s">
        <v>23</v>
      </c>
      <c r="M6" s="33">
        <v>46098</v>
      </c>
      <c r="N6" s="38" t="s">
        <v>34</v>
      </c>
      <c r="O6" s="34" t="s">
        <v>37</v>
      </c>
      <c r="P6" s="34" t="s">
        <v>32</v>
      </c>
      <c r="Q6" s="34" t="s">
        <v>33</v>
      </c>
      <c r="R6" s="34" t="s">
        <v>35</v>
      </c>
      <c r="S6" s="38" t="s">
        <v>36</v>
      </c>
      <c r="T6" s="4"/>
      <c r="U6" s="4"/>
      <c r="V6" s="1" t="e">
        <f t="shared" si="0"/>
        <v>#VALUE!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"/>
    </row>
    <row r="7" spans="1:60" ht="45.75" customHeight="1" x14ac:dyDescent="0.25">
      <c r="A7" s="10"/>
      <c r="B7" s="1"/>
      <c r="C7" s="1"/>
      <c r="D7" s="1"/>
      <c r="E7" s="1"/>
      <c r="F7" s="1"/>
      <c r="G7" s="7"/>
      <c r="H7" s="7"/>
      <c r="I7" s="7"/>
      <c r="J7" s="7"/>
      <c r="K7" s="7"/>
      <c r="L7" s="4" t="s">
        <v>24</v>
      </c>
      <c r="M7" s="33">
        <v>46099</v>
      </c>
      <c r="N7" s="38" t="s">
        <v>34</v>
      </c>
      <c r="O7" s="34" t="s">
        <v>37</v>
      </c>
      <c r="P7" s="34" t="s">
        <v>32</v>
      </c>
      <c r="Q7" s="34" t="s">
        <v>33</v>
      </c>
      <c r="R7" s="34" t="s">
        <v>35</v>
      </c>
      <c r="S7" s="38" t="s">
        <v>36</v>
      </c>
      <c r="T7" s="4"/>
      <c r="U7" s="4"/>
      <c r="V7" s="1" t="e">
        <f t="shared" si="0"/>
        <v>#VALUE!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7"/>
    </row>
    <row r="8" spans="1:60" ht="45.75" customHeight="1" x14ac:dyDescent="0.25">
      <c r="A8" s="10"/>
      <c r="B8" s="1"/>
      <c r="C8" s="1"/>
      <c r="D8" s="1"/>
      <c r="E8" s="1"/>
      <c r="F8" s="1"/>
      <c r="G8" s="7"/>
      <c r="H8" s="7"/>
      <c r="I8" s="7"/>
      <c r="J8" s="7"/>
      <c r="K8" s="7"/>
      <c r="L8" s="4" t="s">
        <v>25</v>
      </c>
      <c r="M8" s="33">
        <v>46100</v>
      </c>
      <c r="N8" s="38" t="s">
        <v>34</v>
      </c>
      <c r="O8" s="34" t="s">
        <v>37</v>
      </c>
      <c r="P8" s="34" t="s">
        <v>32</v>
      </c>
      <c r="Q8" s="34" t="s">
        <v>33</v>
      </c>
      <c r="R8" s="34" t="s">
        <v>35</v>
      </c>
      <c r="S8" s="38" t="s">
        <v>36</v>
      </c>
      <c r="T8" s="4"/>
      <c r="U8" s="4"/>
      <c r="V8" s="1" t="e">
        <f t="shared" si="0"/>
        <v>#VALUE!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7"/>
    </row>
    <row r="9" spans="1:60" ht="45.75" customHeight="1" x14ac:dyDescent="0.25">
      <c r="A9" s="10"/>
      <c r="B9" s="1"/>
      <c r="C9" s="1"/>
      <c r="D9" s="1"/>
      <c r="E9" s="1"/>
      <c r="F9" s="1"/>
      <c r="G9" s="7"/>
      <c r="H9" s="7"/>
      <c r="I9" s="7"/>
      <c r="J9" s="7"/>
      <c r="K9" s="7"/>
      <c r="L9" s="4" t="s">
        <v>26</v>
      </c>
      <c r="M9" s="33">
        <v>46101</v>
      </c>
      <c r="N9" s="38" t="s">
        <v>34</v>
      </c>
      <c r="O9" s="34" t="s">
        <v>37</v>
      </c>
      <c r="P9" s="34" t="s">
        <v>32</v>
      </c>
      <c r="Q9" s="34" t="s">
        <v>33</v>
      </c>
      <c r="R9" s="34" t="s">
        <v>35</v>
      </c>
      <c r="S9" s="40" t="s">
        <v>47</v>
      </c>
      <c r="T9" s="4"/>
      <c r="U9" s="4"/>
      <c r="V9" s="1" t="e">
        <f t="shared" si="0"/>
        <v>#VALUE!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7"/>
    </row>
    <row r="10" spans="1:60" ht="45.75" customHeight="1" x14ac:dyDescent="0.25">
      <c r="A10" s="10"/>
      <c r="L10" s="4" t="s">
        <v>27</v>
      </c>
      <c r="M10" s="33">
        <v>46102</v>
      </c>
      <c r="N10" s="40" t="s">
        <v>29</v>
      </c>
      <c r="O10" s="40" t="s">
        <v>29</v>
      </c>
      <c r="P10" s="40" t="s">
        <v>29</v>
      </c>
      <c r="Q10" s="40" t="s">
        <v>29</v>
      </c>
      <c r="R10" s="40" t="s">
        <v>29</v>
      </c>
      <c r="S10" s="40" t="s">
        <v>29</v>
      </c>
      <c r="T10" s="4"/>
      <c r="U10" s="4"/>
      <c r="V10" s="1" t="e">
        <f t="shared" si="0"/>
        <v>#VALUE!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7"/>
    </row>
    <row r="11" spans="1:60" ht="45.75" customHeight="1" x14ac:dyDescent="0.25">
      <c r="A11" s="10"/>
      <c r="B11" s="1"/>
      <c r="C11" s="1"/>
      <c r="D11" s="1"/>
      <c r="E11" s="1"/>
      <c r="F11" s="1"/>
      <c r="G11" s="7"/>
      <c r="H11" s="7"/>
      <c r="I11" s="7"/>
      <c r="J11" s="7"/>
      <c r="K11" s="7"/>
      <c r="L11" s="4" t="s">
        <v>28</v>
      </c>
      <c r="M11" s="33">
        <v>46103</v>
      </c>
      <c r="N11" s="39" t="s">
        <v>38</v>
      </c>
      <c r="O11" s="34" t="s">
        <v>37</v>
      </c>
      <c r="P11" s="34" t="s">
        <v>32</v>
      </c>
      <c r="Q11" s="34" t="s">
        <v>33</v>
      </c>
      <c r="R11" s="34" t="s">
        <v>35</v>
      </c>
      <c r="S11" s="38" t="s">
        <v>20</v>
      </c>
      <c r="T11" s="4"/>
      <c r="U11" s="4"/>
      <c r="V11" s="1" t="e">
        <f t="shared" si="0"/>
        <v>#VALUE!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7"/>
    </row>
    <row r="12" spans="1:60" ht="18.75" customHeight="1" x14ac:dyDescent="0.25">
      <c r="A12" s="10"/>
      <c r="B12" s="1"/>
      <c r="C12" s="1"/>
      <c r="D12" s="1"/>
      <c r="E12" s="1"/>
      <c r="F12" s="1"/>
      <c r="G12" s="7"/>
      <c r="H12" s="7"/>
      <c r="I12" s="7"/>
      <c r="J12" s="7"/>
      <c r="K12" s="7"/>
      <c r="L12" s="4"/>
      <c r="M12" s="29"/>
      <c r="N12" s="4"/>
      <c r="O12" s="4"/>
      <c r="P12" s="4"/>
      <c r="Q12" s="4"/>
      <c r="R12" s="4"/>
      <c r="S12" s="4"/>
      <c r="T12" s="4"/>
      <c r="U12" s="4"/>
      <c r="V12" s="5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7"/>
    </row>
    <row r="13" spans="1:60" x14ac:dyDescent="0.25">
      <c r="G13" s="21"/>
      <c r="H13" s="21"/>
      <c r="I13" s="21"/>
      <c r="J13" s="21"/>
      <c r="K13" s="21"/>
      <c r="L13" s="36"/>
      <c r="N13" s="1"/>
      <c r="O13" s="1"/>
      <c r="P13" s="1"/>
      <c r="Q13" s="1"/>
      <c r="R13" s="1"/>
      <c r="S13" s="1"/>
      <c r="T13" s="1"/>
      <c r="U13" s="1"/>
      <c r="V13" s="1"/>
      <c r="BH13" s="14"/>
    </row>
    <row r="14" spans="1:60" ht="135" x14ac:dyDescent="0.25">
      <c r="G14" s="22" t="s">
        <v>14</v>
      </c>
      <c r="H14" s="22"/>
      <c r="I14" s="23"/>
      <c r="J14" s="22"/>
      <c r="K14" s="22"/>
      <c r="L14" s="37"/>
      <c r="N14" s="16" t="s">
        <v>12</v>
      </c>
      <c r="O14" s="16"/>
      <c r="P14" s="1"/>
      <c r="Q14" s="1"/>
      <c r="R14" s="1"/>
      <c r="S14" s="1"/>
      <c r="T14" s="1"/>
      <c r="U14" s="1"/>
      <c r="V14" s="1"/>
      <c r="W14" s="16" t="s">
        <v>9</v>
      </c>
      <c r="X14" s="16"/>
      <c r="AF14" s="17" t="s">
        <v>7</v>
      </c>
      <c r="AO14" s="16" t="s">
        <v>6</v>
      </c>
      <c r="AX14" s="16" t="s">
        <v>11</v>
      </c>
      <c r="BH14" s="18" t="s">
        <v>13</v>
      </c>
    </row>
    <row r="15" spans="1:60" ht="75" x14ac:dyDescent="0.25">
      <c r="G15" s="22" t="s">
        <v>45</v>
      </c>
      <c r="H15" s="21"/>
      <c r="I15" s="21"/>
      <c r="J15" s="21"/>
      <c r="K15" s="21"/>
      <c r="L15" s="36"/>
      <c r="M15" s="30"/>
      <c r="N15" s="1"/>
      <c r="O15" s="1"/>
      <c r="P15" s="1"/>
      <c r="Q15" s="1"/>
      <c r="R15" s="1"/>
      <c r="S15" s="1"/>
      <c r="T15" s="1"/>
      <c r="U15" s="1"/>
      <c r="V15" s="1"/>
      <c r="BH15" s="14"/>
    </row>
    <row r="16" spans="1:60" x14ac:dyDescent="0.25">
      <c r="G16" s="21"/>
      <c r="H16" s="21"/>
      <c r="I16" s="21"/>
      <c r="J16" s="21"/>
      <c r="K16" s="21"/>
      <c r="L16" s="36"/>
      <c r="N16" s="1"/>
      <c r="O16" s="1"/>
      <c r="P16" s="1"/>
      <c r="Q16" s="1"/>
      <c r="R16" s="1"/>
      <c r="S16" s="1"/>
      <c r="T16" s="1"/>
      <c r="U16" s="1"/>
      <c r="V16" s="1"/>
      <c r="BH16" s="14"/>
    </row>
    <row r="17" spans="4:60" ht="135" x14ac:dyDescent="0.25">
      <c r="G17" s="22" t="s">
        <v>44</v>
      </c>
      <c r="H17" s="21"/>
      <c r="I17" s="21"/>
      <c r="J17" s="21"/>
      <c r="K17" s="21"/>
      <c r="L17" s="36"/>
      <c r="N17" s="1"/>
      <c r="O17" s="1"/>
      <c r="P17" s="1"/>
      <c r="Q17" s="1"/>
      <c r="R17" s="1"/>
      <c r="S17" s="1"/>
      <c r="T17" s="1"/>
      <c r="U17" s="1"/>
      <c r="V17" s="1"/>
      <c r="BH17" s="14"/>
    </row>
    <row r="18" spans="4:60" x14ac:dyDescent="0.25">
      <c r="D18" s="11">
        <v>22000000000</v>
      </c>
      <c r="G18" s="21"/>
      <c r="H18" s="21"/>
      <c r="I18" s="21"/>
      <c r="J18" s="21"/>
      <c r="K18" s="21"/>
      <c r="L18" s="36"/>
      <c r="N18" s="1"/>
      <c r="O18" s="1"/>
      <c r="P18" s="1"/>
      <c r="Q18" s="1"/>
      <c r="R18" s="1"/>
      <c r="S18" s="1"/>
      <c r="T18" s="1"/>
      <c r="U18" s="1"/>
      <c r="V18" s="1"/>
      <c r="BH18" s="14"/>
    </row>
    <row r="19" spans="4:60" x14ac:dyDescent="0.25">
      <c r="G19" s="21"/>
      <c r="H19" s="21"/>
      <c r="I19" s="21"/>
      <c r="J19" s="21"/>
      <c r="K19" s="21"/>
      <c r="L19" s="36"/>
      <c r="N19" s="1"/>
      <c r="O19" s="1"/>
      <c r="P19" s="1"/>
      <c r="Q19" s="1"/>
      <c r="R19" s="1"/>
      <c r="S19" s="1"/>
      <c r="T19" s="1"/>
      <c r="U19" s="1"/>
      <c r="V19" s="1"/>
      <c r="BH19" s="14"/>
    </row>
    <row r="20" spans="4:60" x14ac:dyDescent="0.25">
      <c r="G20" s="21"/>
      <c r="H20" s="21"/>
      <c r="I20" s="21"/>
      <c r="J20" s="21"/>
      <c r="K20" s="21"/>
      <c r="L20" s="36"/>
      <c r="N20" s="1"/>
      <c r="O20" s="1"/>
      <c r="P20" s="1"/>
      <c r="Q20" s="1"/>
      <c r="R20" s="1"/>
      <c r="S20" s="1"/>
      <c r="T20" s="1"/>
      <c r="U20" s="1"/>
      <c r="V20" s="1"/>
      <c r="BH20" s="14"/>
    </row>
    <row r="21" spans="4:60" x14ac:dyDescent="0.25">
      <c r="G21" s="21"/>
      <c r="H21" s="21"/>
      <c r="I21" s="21"/>
      <c r="J21" s="21"/>
      <c r="K21" s="21"/>
      <c r="L21" s="36"/>
      <c r="N21" s="1"/>
      <c r="O21" s="1"/>
      <c r="P21" s="1"/>
      <c r="Q21" s="1"/>
      <c r="R21" s="1"/>
      <c r="S21" s="1"/>
      <c r="T21" s="1"/>
      <c r="U21" s="1"/>
      <c r="V21" s="1"/>
      <c r="BH21" s="14"/>
    </row>
    <row r="22" spans="4:60" x14ac:dyDescent="0.25">
      <c r="G22" s="21"/>
      <c r="H22" s="21"/>
      <c r="I22" s="21"/>
      <c r="J22" s="21"/>
      <c r="K22" s="21"/>
      <c r="L22" s="36"/>
      <c r="N22" s="1"/>
      <c r="O22" s="1"/>
      <c r="P22" s="1"/>
      <c r="Q22" s="1"/>
      <c r="R22" s="1"/>
      <c r="S22" s="1"/>
      <c r="T22" s="1"/>
      <c r="U22" s="1"/>
      <c r="V22" s="1"/>
      <c r="BH22" s="14"/>
    </row>
    <row r="23" spans="4:60" x14ac:dyDescent="0.25">
      <c r="G23" s="21"/>
      <c r="H23" s="21"/>
      <c r="I23" s="21"/>
      <c r="J23" s="21"/>
      <c r="K23" s="21"/>
      <c r="L23" s="36"/>
      <c r="N23" s="1"/>
      <c r="O23" s="1"/>
      <c r="P23" s="1"/>
      <c r="Q23" s="1"/>
      <c r="R23" s="1"/>
      <c r="S23" s="1"/>
      <c r="T23" s="1"/>
      <c r="U23" s="1"/>
      <c r="V23" s="1"/>
      <c r="BH23" s="14"/>
    </row>
    <row r="24" spans="4:60" x14ac:dyDescent="0.25">
      <c r="G24" s="21"/>
      <c r="H24" s="21"/>
      <c r="I24" s="21"/>
      <c r="J24" s="21"/>
      <c r="K24" s="21"/>
      <c r="L24" s="36"/>
      <c r="N24" s="1"/>
      <c r="O24" s="1"/>
      <c r="P24" s="1"/>
      <c r="Q24" s="1"/>
      <c r="R24" s="1"/>
      <c r="S24" s="1"/>
      <c r="T24" s="1"/>
      <c r="U24" s="1"/>
      <c r="V24" s="1"/>
      <c r="BH24" s="14"/>
    </row>
    <row r="25" spans="4:60" x14ac:dyDescent="0.25">
      <c r="G25" s="21"/>
      <c r="H25" s="21"/>
      <c r="I25" s="21"/>
      <c r="J25" s="21"/>
      <c r="K25" s="21"/>
      <c r="L25" s="36"/>
      <c r="N25" s="1"/>
      <c r="O25" s="1"/>
      <c r="P25" s="1"/>
      <c r="Q25" s="1"/>
      <c r="R25" s="1"/>
      <c r="S25" s="1"/>
      <c r="T25" s="1"/>
      <c r="U25" s="1"/>
      <c r="V25" s="1"/>
      <c r="BH25" s="14"/>
    </row>
    <row r="26" spans="4:60" x14ac:dyDescent="0.25">
      <c r="G26" s="21"/>
      <c r="H26" s="21"/>
      <c r="I26" s="21"/>
      <c r="J26" s="21"/>
      <c r="K26" s="21"/>
      <c r="L26" s="36"/>
      <c r="N26" s="1"/>
      <c r="O26" s="1"/>
      <c r="P26" s="1"/>
      <c r="Q26" s="1"/>
      <c r="R26" s="1"/>
      <c r="S26" s="1"/>
      <c r="T26" s="1"/>
      <c r="U26" s="1"/>
      <c r="V26" s="1"/>
      <c r="BH26" s="14"/>
    </row>
    <row r="27" spans="4:60" x14ac:dyDescent="0.25">
      <c r="G27" s="21"/>
      <c r="H27" s="21"/>
      <c r="I27" s="21"/>
      <c r="J27" s="21"/>
      <c r="K27" s="21"/>
      <c r="L27" s="36"/>
      <c r="N27" s="1"/>
      <c r="O27" s="1"/>
      <c r="P27" s="1"/>
      <c r="Q27" s="1"/>
      <c r="R27" s="1"/>
      <c r="S27" s="1"/>
      <c r="T27" s="1"/>
      <c r="U27" s="1"/>
      <c r="V27" s="1"/>
      <c r="BH27" s="14"/>
    </row>
    <row r="28" spans="4:60" x14ac:dyDescent="0.25">
      <c r="G28" s="21"/>
      <c r="H28" s="21"/>
      <c r="I28" s="21"/>
      <c r="J28" s="21"/>
      <c r="K28" s="21"/>
      <c r="L28" s="36"/>
      <c r="N28" s="1"/>
      <c r="O28" s="1"/>
      <c r="P28" s="1"/>
      <c r="Q28" s="1"/>
      <c r="R28" s="1"/>
      <c r="S28" s="1"/>
      <c r="T28" s="1"/>
      <c r="U28" s="1"/>
      <c r="V28" s="1"/>
      <c r="BH28" s="14"/>
    </row>
    <row r="29" spans="4:60" x14ac:dyDescent="0.25">
      <c r="G29" s="21"/>
      <c r="H29" s="21"/>
      <c r="I29" s="21"/>
      <c r="J29" s="21"/>
      <c r="K29" s="21"/>
      <c r="L29" s="36"/>
      <c r="N29" s="1"/>
      <c r="O29" s="1"/>
      <c r="P29" s="1"/>
      <c r="Q29" s="1"/>
      <c r="R29" s="1"/>
      <c r="S29" s="1"/>
      <c r="T29" s="1"/>
      <c r="U29" s="1"/>
      <c r="V29" s="1"/>
      <c r="BH29" s="14"/>
    </row>
    <row r="30" spans="4:60" x14ac:dyDescent="0.25">
      <c r="G30" s="21"/>
      <c r="H30" s="21"/>
      <c r="I30" s="21"/>
      <c r="J30" s="21"/>
      <c r="K30" s="21"/>
      <c r="L30" s="36"/>
      <c r="N30" s="1"/>
      <c r="O30" s="1"/>
      <c r="P30" s="1"/>
      <c r="Q30" s="1"/>
      <c r="R30" s="1"/>
      <c r="S30" s="1"/>
      <c r="T30" s="1"/>
      <c r="U30" s="1"/>
      <c r="V30" s="1"/>
      <c r="BH30" s="14"/>
    </row>
    <row r="31" spans="4:60" x14ac:dyDescent="0.25">
      <c r="G31" s="21"/>
      <c r="H31" s="21"/>
      <c r="I31" s="21"/>
      <c r="J31" s="21"/>
      <c r="K31" s="21"/>
      <c r="L31" s="36"/>
      <c r="N31" s="1"/>
      <c r="O31" s="1"/>
      <c r="P31" s="1"/>
      <c r="Q31" s="1"/>
      <c r="R31" s="1"/>
      <c r="S31" s="1"/>
      <c r="T31" s="1"/>
      <c r="U31" s="1"/>
      <c r="V31" s="1"/>
      <c r="BH31" s="14"/>
    </row>
    <row r="32" spans="4:60" x14ac:dyDescent="0.25">
      <c r="G32" s="21"/>
      <c r="H32" s="21"/>
      <c r="I32" s="21"/>
      <c r="J32" s="21"/>
      <c r="K32" s="21"/>
      <c r="L32" s="36"/>
      <c r="N32" s="1"/>
      <c r="O32" s="1"/>
      <c r="P32" s="1"/>
      <c r="Q32" s="1"/>
      <c r="R32" s="1"/>
      <c r="S32" s="1"/>
      <c r="T32" s="1"/>
      <c r="U32" s="1"/>
      <c r="V32" s="1"/>
      <c r="BH32" s="14"/>
    </row>
    <row r="33" spans="7:60" x14ac:dyDescent="0.25">
      <c r="G33" s="21"/>
      <c r="H33" s="21"/>
      <c r="I33" s="21"/>
      <c r="J33" s="21"/>
      <c r="K33" s="21"/>
      <c r="L33" s="36"/>
      <c r="N33" s="1"/>
      <c r="O33" s="1"/>
      <c r="P33" s="1"/>
      <c r="Q33" s="1"/>
      <c r="R33" s="1"/>
      <c r="S33" s="1"/>
      <c r="T33" s="1"/>
      <c r="U33" s="1"/>
      <c r="V33" s="1"/>
      <c r="BH33" s="14"/>
    </row>
    <row r="34" spans="7:60" x14ac:dyDescent="0.25">
      <c r="G34" s="21"/>
      <c r="H34" s="21"/>
      <c r="I34" s="21"/>
      <c r="J34" s="21"/>
      <c r="K34" s="21"/>
      <c r="L34" s="36"/>
      <c r="N34" s="1"/>
      <c r="O34" s="1"/>
      <c r="P34" s="1"/>
      <c r="Q34" s="1"/>
      <c r="R34" s="1"/>
      <c r="S34" s="1"/>
      <c r="T34" s="1"/>
      <c r="U34" s="1"/>
      <c r="V34" s="1"/>
      <c r="BH34" s="14"/>
    </row>
    <row r="35" spans="7:60" x14ac:dyDescent="0.25">
      <c r="G35" s="21"/>
      <c r="H35" s="21"/>
      <c r="I35" s="21"/>
      <c r="J35" s="21"/>
      <c r="K35" s="21"/>
      <c r="L35" s="36"/>
      <c r="N35" s="1"/>
      <c r="O35" s="1"/>
      <c r="P35" s="1"/>
      <c r="Q35" s="1"/>
      <c r="R35" s="1"/>
      <c r="S35" s="1"/>
      <c r="T35" s="1"/>
      <c r="U35" s="1"/>
      <c r="V35" s="1"/>
      <c r="BH35" s="14"/>
    </row>
    <row r="36" spans="7:60" x14ac:dyDescent="0.25">
      <c r="G36" s="21"/>
      <c r="H36" s="21"/>
      <c r="I36" s="21"/>
      <c r="J36" s="21"/>
      <c r="K36" s="21"/>
      <c r="L36" s="36"/>
      <c r="N36" s="1"/>
      <c r="O36" s="1"/>
      <c r="P36" s="1"/>
      <c r="Q36" s="1"/>
      <c r="R36" s="1"/>
      <c r="S36" s="1"/>
      <c r="T36" s="1"/>
      <c r="U36" s="1"/>
      <c r="V36" s="1"/>
      <c r="BH36" s="14"/>
    </row>
    <row r="37" spans="7:60" x14ac:dyDescent="0.25">
      <c r="G37" s="21"/>
      <c r="H37" s="21"/>
      <c r="I37" s="21"/>
      <c r="J37" s="21"/>
      <c r="K37" s="21"/>
      <c r="L37" s="36"/>
      <c r="N37" s="1"/>
      <c r="O37" s="1"/>
      <c r="P37" s="1"/>
      <c r="Q37" s="1"/>
      <c r="R37" s="1"/>
      <c r="S37" s="1"/>
      <c r="T37" s="1"/>
      <c r="U37" s="1"/>
      <c r="V37" s="1"/>
      <c r="BH37" s="14"/>
    </row>
    <row r="38" spans="7:60" x14ac:dyDescent="0.25">
      <c r="G38" s="21"/>
      <c r="H38" s="21"/>
      <c r="I38" s="21"/>
      <c r="J38" s="21"/>
      <c r="K38" s="21"/>
      <c r="L38" s="36"/>
      <c r="N38" s="1"/>
      <c r="O38" s="1"/>
      <c r="P38" s="1"/>
      <c r="Q38" s="1"/>
      <c r="R38" s="1"/>
      <c r="S38" s="1"/>
      <c r="T38" s="1"/>
      <c r="U38" s="1"/>
      <c r="V38" s="1"/>
      <c r="BH38" s="14"/>
    </row>
    <row r="39" spans="7:60" x14ac:dyDescent="0.25">
      <c r="G39" s="21"/>
      <c r="H39" s="21"/>
      <c r="I39" s="21"/>
      <c r="J39" s="21"/>
      <c r="K39" s="21"/>
      <c r="L39" s="36"/>
      <c r="N39" s="1"/>
      <c r="O39" s="1"/>
      <c r="P39" s="1"/>
      <c r="Q39" s="1"/>
      <c r="R39" s="1"/>
      <c r="S39" s="1"/>
      <c r="T39" s="1"/>
      <c r="U39" s="1"/>
      <c r="V39" s="1"/>
      <c r="BH39" s="14"/>
    </row>
    <row r="40" spans="7:60" x14ac:dyDescent="0.25">
      <c r="G40" s="21"/>
      <c r="H40" s="21"/>
      <c r="I40" s="21"/>
      <c r="J40" s="21"/>
      <c r="K40" s="21"/>
      <c r="L40" s="36"/>
      <c r="N40" s="1"/>
      <c r="O40" s="1"/>
      <c r="P40" s="1"/>
      <c r="Q40" s="1"/>
      <c r="R40" s="1"/>
      <c r="S40" s="1"/>
      <c r="T40" s="1"/>
      <c r="U40" s="1"/>
      <c r="V40" s="1"/>
      <c r="BH40" s="14"/>
    </row>
    <row r="41" spans="7:60" x14ac:dyDescent="0.25">
      <c r="G41" s="21"/>
      <c r="H41" s="21"/>
      <c r="I41" s="21"/>
      <c r="J41" s="21"/>
      <c r="K41" s="21"/>
      <c r="L41" s="36"/>
      <c r="N41" s="1"/>
      <c r="O41" s="1"/>
      <c r="P41" s="1"/>
      <c r="Q41" s="1"/>
      <c r="R41" s="1"/>
      <c r="S41" s="1"/>
      <c r="T41" s="1"/>
      <c r="U41" s="1"/>
      <c r="V41" s="1"/>
      <c r="BH41" s="14"/>
    </row>
    <row r="42" spans="7:60" x14ac:dyDescent="0.25">
      <c r="G42" s="21"/>
      <c r="H42" s="21"/>
      <c r="I42" s="21"/>
      <c r="J42" s="21"/>
      <c r="K42" s="21"/>
      <c r="L42" s="36"/>
      <c r="N42" s="1"/>
      <c r="O42" s="1"/>
      <c r="P42" s="1"/>
      <c r="Q42" s="1"/>
      <c r="R42" s="1"/>
      <c r="S42" s="1"/>
      <c r="T42" s="1"/>
      <c r="U42" s="1"/>
      <c r="V42" s="1"/>
      <c r="BH42" s="14"/>
    </row>
    <row r="43" spans="7:60" x14ac:dyDescent="0.25">
      <c r="G43" s="21"/>
      <c r="H43" s="21"/>
      <c r="I43" s="21"/>
      <c r="J43" s="21"/>
      <c r="K43" s="21"/>
      <c r="L43" s="36"/>
      <c r="N43" s="1"/>
      <c r="O43" s="1"/>
      <c r="P43" s="1"/>
      <c r="Q43" s="1"/>
      <c r="R43" s="1"/>
      <c r="S43" s="1"/>
      <c r="T43" s="1"/>
      <c r="U43" s="1"/>
      <c r="V43" s="1"/>
      <c r="BH43" s="14"/>
    </row>
    <row r="44" spans="7:60" x14ac:dyDescent="0.25">
      <c r="G44" s="21"/>
      <c r="H44" s="21"/>
      <c r="I44" s="21"/>
      <c r="J44" s="21"/>
      <c r="K44" s="21"/>
      <c r="L44" s="36"/>
      <c r="N44" s="1"/>
      <c r="O44" s="1"/>
      <c r="P44" s="1"/>
      <c r="Q44" s="1"/>
      <c r="R44" s="1"/>
      <c r="S44" s="1"/>
      <c r="T44" s="1"/>
      <c r="U44" s="1"/>
      <c r="V44" s="1"/>
      <c r="BH44" s="14"/>
    </row>
    <row r="45" spans="7:60" x14ac:dyDescent="0.25">
      <c r="G45" s="21"/>
      <c r="H45" s="21"/>
      <c r="I45" s="21"/>
      <c r="J45" s="21"/>
      <c r="K45" s="21"/>
      <c r="L45" s="36"/>
      <c r="N45" s="1"/>
      <c r="O45" s="1"/>
      <c r="P45" s="1"/>
      <c r="Q45" s="1"/>
      <c r="R45" s="1"/>
      <c r="S45" s="1"/>
      <c r="T45" s="1"/>
      <c r="U45" s="1"/>
      <c r="V45" s="1"/>
      <c r="BH45" s="14"/>
    </row>
    <row r="46" spans="7:60" x14ac:dyDescent="0.25">
      <c r="G46" s="21"/>
      <c r="H46" s="21"/>
      <c r="I46" s="21"/>
      <c r="J46" s="21"/>
      <c r="K46" s="21"/>
      <c r="L46" s="36"/>
      <c r="N46" s="1"/>
      <c r="O46" s="1"/>
      <c r="P46" s="1"/>
      <c r="Q46" s="1"/>
      <c r="R46" s="1"/>
      <c r="S46" s="1"/>
      <c r="T46" s="1"/>
      <c r="U46" s="1"/>
      <c r="V46" s="1"/>
      <c r="BH46" s="14"/>
    </row>
    <row r="47" spans="7:60" x14ac:dyDescent="0.25">
      <c r="G47" s="21"/>
      <c r="H47" s="21"/>
      <c r="I47" s="21"/>
      <c r="J47" s="21"/>
      <c r="K47" s="21"/>
      <c r="L47" s="36"/>
      <c r="N47" s="1"/>
      <c r="O47" s="1"/>
      <c r="P47" s="1"/>
      <c r="Q47" s="1"/>
      <c r="R47" s="1"/>
      <c r="S47" s="1"/>
      <c r="T47" s="1"/>
      <c r="U47" s="1"/>
      <c r="V47" s="1"/>
      <c r="BH47" s="14"/>
    </row>
    <row r="48" spans="7:60" x14ac:dyDescent="0.25">
      <c r="G48" s="21"/>
      <c r="H48" s="21"/>
      <c r="I48" s="21"/>
      <c r="J48" s="21"/>
      <c r="K48" s="21"/>
      <c r="L48" s="36"/>
      <c r="N48" s="1"/>
      <c r="O48" s="1"/>
      <c r="P48" s="1"/>
      <c r="Q48" s="1"/>
      <c r="R48" s="1"/>
      <c r="S48" s="1"/>
      <c r="T48" s="1"/>
      <c r="U48" s="1"/>
      <c r="V48" s="1"/>
      <c r="BH48" s="14"/>
    </row>
    <row r="49" spans="7:60" x14ac:dyDescent="0.25">
      <c r="G49" s="21"/>
      <c r="H49" s="21"/>
      <c r="I49" s="21"/>
      <c r="J49" s="21"/>
      <c r="K49" s="21"/>
      <c r="L49" s="36"/>
      <c r="N49" s="1"/>
      <c r="O49" s="1"/>
      <c r="P49" s="1"/>
      <c r="Q49" s="1"/>
      <c r="R49" s="1"/>
      <c r="S49" s="1"/>
      <c r="T49" s="1"/>
      <c r="U49" s="1"/>
      <c r="V49" s="1"/>
      <c r="BH49" s="14"/>
    </row>
    <row r="50" spans="7:60" x14ac:dyDescent="0.25">
      <c r="G50" s="21"/>
      <c r="H50" s="21"/>
      <c r="I50" s="21"/>
      <c r="J50" s="21"/>
      <c r="K50" s="21"/>
      <c r="L50" s="36"/>
      <c r="N50" s="1"/>
      <c r="O50" s="1"/>
      <c r="P50" s="1"/>
      <c r="Q50" s="1"/>
      <c r="R50" s="1"/>
      <c r="S50" s="1"/>
      <c r="T50" s="1"/>
      <c r="U50" s="1"/>
      <c r="V50" s="1"/>
      <c r="BH50" s="14"/>
    </row>
    <row r="51" spans="7:60" x14ac:dyDescent="0.25">
      <c r="G51" s="21"/>
      <c r="H51" s="21"/>
      <c r="I51" s="21"/>
      <c r="J51" s="21"/>
      <c r="K51" s="21"/>
      <c r="L51" s="36"/>
      <c r="N51" s="1"/>
      <c r="O51" s="1"/>
      <c r="P51" s="1"/>
      <c r="Q51" s="1"/>
      <c r="R51" s="1"/>
      <c r="S51" s="1"/>
      <c r="T51" s="1"/>
      <c r="U51" s="1"/>
      <c r="V51" s="1"/>
      <c r="BH51" s="14"/>
    </row>
    <row r="52" spans="7:60" x14ac:dyDescent="0.25">
      <c r="G52" s="21"/>
      <c r="H52" s="21"/>
      <c r="I52" s="21"/>
      <c r="J52" s="21"/>
      <c r="K52" s="21"/>
      <c r="L52" s="36"/>
      <c r="N52" s="1"/>
      <c r="O52" s="1"/>
      <c r="P52" s="1"/>
      <c r="Q52" s="1"/>
      <c r="R52" s="1"/>
      <c r="S52" s="1"/>
      <c r="T52" s="1"/>
      <c r="U52" s="1"/>
      <c r="V52" s="1"/>
      <c r="BH52" s="14"/>
    </row>
    <row r="53" spans="7:60" x14ac:dyDescent="0.25">
      <c r="G53" s="21"/>
      <c r="H53" s="21"/>
      <c r="I53" s="21"/>
      <c r="J53" s="21"/>
      <c r="K53" s="21"/>
      <c r="L53" s="36"/>
      <c r="N53" s="1"/>
      <c r="O53" s="1"/>
      <c r="P53" s="1"/>
      <c r="Q53" s="1"/>
      <c r="R53" s="1"/>
      <c r="S53" s="1"/>
      <c r="T53" s="1"/>
      <c r="U53" s="1"/>
      <c r="V53" s="1"/>
      <c r="BH53" s="14"/>
    </row>
    <row r="54" spans="7:60" x14ac:dyDescent="0.25">
      <c r="G54" s="21"/>
      <c r="H54" s="21"/>
      <c r="I54" s="21"/>
      <c r="J54" s="21"/>
      <c r="K54" s="21"/>
      <c r="L54" s="36"/>
      <c r="N54" s="1"/>
      <c r="O54" s="1"/>
      <c r="P54" s="1"/>
      <c r="Q54" s="1"/>
      <c r="R54" s="1"/>
      <c r="S54" s="1"/>
      <c r="T54" s="1"/>
      <c r="U54" s="1"/>
      <c r="V54" s="1"/>
      <c r="BH54" s="14"/>
    </row>
    <row r="55" spans="7:60" x14ac:dyDescent="0.25">
      <c r="G55" s="21"/>
      <c r="H55" s="21"/>
      <c r="I55" s="21"/>
      <c r="J55" s="21"/>
      <c r="K55" s="21"/>
      <c r="L55" s="36"/>
      <c r="N55" s="1"/>
      <c r="O55" s="1"/>
      <c r="P55" s="1"/>
      <c r="Q55" s="1"/>
      <c r="R55" s="1"/>
      <c r="S55" s="1"/>
      <c r="T55" s="1"/>
      <c r="U55" s="1"/>
      <c r="V55" s="1"/>
      <c r="BH55" s="14"/>
    </row>
    <row r="56" spans="7:60" x14ac:dyDescent="0.25">
      <c r="G56" s="21"/>
      <c r="H56" s="21"/>
      <c r="I56" s="21"/>
      <c r="J56" s="21"/>
      <c r="K56" s="21"/>
      <c r="L56" s="36"/>
      <c r="N56" s="1"/>
      <c r="O56" s="1"/>
      <c r="P56" s="1"/>
      <c r="Q56" s="1"/>
      <c r="R56" s="1"/>
      <c r="S56" s="1"/>
      <c r="T56" s="1"/>
      <c r="U56" s="1"/>
      <c r="V56" s="1"/>
      <c r="BH56" s="14"/>
    </row>
    <row r="57" spans="7:60" x14ac:dyDescent="0.25">
      <c r="G57" s="21"/>
      <c r="H57" s="21"/>
      <c r="I57" s="21"/>
      <c r="J57" s="21"/>
      <c r="K57" s="21"/>
      <c r="L57" s="36"/>
      <c r="N57" s="1"/>
      <c r="O57" s="1"/>
      <c r="P57" s="1"/>
      <c r="Q57" s="1"/>
      <c r="R57" s="1"/>
      <c r="S57" s="1"/>
      <c r="T57" s="1"/>
      <c r="U57" s="1"/>
      <c r="V57" s="1"/>
      <c r="BH57" s="14"/>
    </row>
    <row r="58" spans="7:60" x14ac:dyDescent="0.25">
      <c r="G58" s="21"/>
      <c r="H58" s="21"/>
      <c r="I58" s="21"/>
      <c r="J58" s="21"/>
      <c r="K58" s="21"/>
      <c r="L58" s="36"/>
      <c r="N58" s="1"/>
      <c r="O58" s="1"/>
      <c r="P58" s="1"/>
      <c r="Q58" s="1"/>
      <c r="R58" s="1"/>
      <c r="S58" s="1"/>
      <c r="T58" s="1"/>
      <c r="U58" s="1"/>
      <c r="V58" s="1"/>
      <c r="BH58" s="14"/>
    </row>
    <row r="59" spans="7:60" x14ac:dyDescent="0.25">
      <c r="G59" s="21"/>
      <c r="H59" s="21"/>
      <c r="I59" s="21"/>
      <c r="J59" s="21"/>
      <c r="K59" s="21"/>
      <c r="L59" s="36"/>
      <c r="N59" s="1"/>
      <c r="O59" s="1"/>
      <c r="P59" s="1"/>
      <c r="Q59" s="1"/>
      <c r="R59" s="1"/>
      <c r="S59" s="1"/>
      <c r="T59" s="1"/>
      <c r="U59" s="1"/>
      <c r="V59" s="1"/>
      <c r="BH59" s="14"/>
    </row>
    <row r="60" spans="7:60" x14ac:dyDescent="0.25">
      <c r="G60" s="21"/>
      <c r="H60" s="21"/>
      <c r="I60" s="21"/>
      <c r="J60" s="21"/>
      <c r="K60" s="21"/>
      <c r="L60" s="36"/>
      <c r="N60" s="1"/>
      <c r="O60" s="1"/>
      <c r="P60" s="1"/>
      <c r="Q60" s="1"/>
      <c r="R60" s="1"/>
      <c r="S60" s="1"/>
      <c r="T60" s="1"/>
      <c r="U60" s="1"/>
      <c r="V60" s="1"/>
      <c r="BH60" s="14"/>
    </row>
    <row r="61" spans="7:60" x14ac:dyDescent="0.25">
      <c r="G61" s="21"/>
      <c r="H61" s="21"/>
      <c r="I61" s="21"/>
      <c r="J61" s="21"/>
      <c r="K61" s="21"/>
      <c r="L61" s="36"/>
      <c r="N61" s="1"/>
      <c r="O61" s="1"/>
      <c r="P61" s="1"/>
      <c r="Q61" s="1"/>
      <c r="R61" s="1"/>
      <c r="S61" s="1"/>
      <c r="T61" s="1"/>
      <c r="U61" s="1"/>
      <c r="V61" s="1"/>
      <c r="BH61" s="14"/>
    </row>
    <row r="62" spans="7:60" x14ac:dyDescent="0.25">
      <c r="G62" s="21"/>
      <c r="H62" s="21"/>
      <c r="I62" s="21"/>
      <c r="J62" s="21"/>
      <c r="K62" s="21"/>
      <c r="L62" s="36"/>
      <c r="N62" s="1"/>
      <c r="O62" s="1"/>
      <c r="P62" s="1"/>
      <c r="Q62" s="1"/>
      <c r="R62" s="1"/>
      <c r="S62" s="1"/>
      <c r="T62" s="1"/>
      <c r="U62" s="1"/>
      <c r="V62" s="1"/>
      <c r="BH62" s="14"/>
    </row>
    <row r="63" spans="7:60" x14ac:dyDescent="0.25">
      <c r="G63" s="21"/>
      <c r="H63" s="21"/>
      <c r="I63" s="21"/>
      <c r="J63" s="21"/>
      <c r="K63" s="21"/>
      <c r="L63" s="36"/>
      <c r="N63" s="1"/>
      <c r="O63" s="1"/>
      <c r="P63" s="1"/>
      <c r="Q63" s="1"/>
      <c r="R63" s="1"/>
      <c r="S63" s="1"/>
      <c r="T63" s="1"/>
      <c r="U63" s="1"/>
      <c r="V63" s="1"/>
      <c r="BH63" s="14"/>
    </row>
    <row r="64" spans="7:60" x14ac:dyDescent="0.25">
      <c r="G64" s="21"/>
      <c r="H64" s="21"/>
      <c r="I64" s="21"/>
      <c r="J64" s="21"/>
      <c r="K64" s="21"/>
      <c r="L64" s="36"/>
      <c r="N64" s="1"/>
      <c r="O64" s="1"/>
      <c r="P64" s="1"/>
      <c r="Q64" s="1"/>
      <c r="R64" s="1"/>
      <c r="S64" s="1"/>
      <c r="T64" s="1"/>
      <c r="U64" s="1"/>
      <c r="V64" s="1"/>
      <c r="BH64" s="14"/>
    </row>
    <row r="65" spans="7:60" x14ac:dyDescent="0.25">
      <c r="G65" s="21"/>
      <c r="H65" s="21"/>
      <c r="I65" s="21"/>
      <c r="J65" s="21"/>
      <c r="K65" s="21"/>
      <c r="L65" s="36"/>
      <c r="N65" s="1"/>
      <c r="O65" s="1"/>
      <c r="P65" s="1"/>
      <c r="Q65" s="1"/>
      <c r="R65" s="1"/>
      <c r="S65" s="1"/>
      <c r="T65" s="1"/>
      <c r="U65" s="1"/>
      <c r="V65" s="1"/>
      <c r="BH65" s="14"/>
    </row>
    <row r="66" spans="7:60" x14ac:dyDescent="0.25">
      <c r="G66" s="21"/>
      <c r="H66" s="21"/>
      <c r="I66" s="21"/>
      <c r="J66" s="21"/>
      <c r="K66" s="21"/>
      <c r="L66" s="36"/>
      <c r="N66" s="1"/>
      <c r="O66" s="1"/>
      <c r="P66" s="1"/>
      <c r="Q66" s="1"/>
      <c r="R66" s="1"/>
      <c r="S66" s="1"/>
      <c r="T66" s="1"/>
      <c r="U66" s="1"/>
      <c r="V66" s="1"/>
      <c r="BH66" s="14"/>
    </row>
    <row r="67" spans="7:60" x14ac:dyDescent="0.25">
      <c r="G67" s="21"/>
      <c r="H67" s="21"/>
      <c r="I67" s="21"/>
      <c r="J67" s="21"/>
      <c r="K67" s="21"/>
      <c r="L67" s="36"/>
      <c r="N67" s="1"/>
      <c r="O67" s="1"/>
      <c r="P67" s="1"/>
      <c r="Q67" s="1"/>
      <c r="R67" s="1"/>
      <c r="S67" s="1"/>
      <c r="T67" s="1"/>
      <c r="U67" s="1"/>
      <c r="V67" s="1"/>
      <c r="BH67" s="14"/>
    </row>
    <row r="68" spans="7:60" x14ac:dyDescent="0.25">
      <c r="G68" s="21"/>
      <c r="H68" s="21"/>
      <c r="I68" s="21"/>
      <c r="J68" s="21"/>
      <c r="K68" s="21"/>
      <c r="L68" s="36"/>
      <c r="N68" s="1"/>
      <c r="O68" s="1"/>
      <c r="P68" s="1"/>
      <c r="Q68" s="1"/>
      <c r="R68" s="1"/>
      <c r="S68" s="1"/>
      <c r="T68" s="1"/>
      <c r="U68" s="1"/>
      <c r="V68" s="1"/>
      <c r="BH68" s="14"/>
    </row>
    <row r="69" spans="7:60" x14ac:dyDescent="0.25">
      <c r="G69" s="21"/>
      <c r="H69" s="21"/>
      <c r="I69" s="21"/>
      <c r="J69" s="21"/>
      <c r="K69" s="21"/>
      <c r="L69" s="36"/>
      <c r="N69" s="1"/>
      <c r="O69" s="1"/>
      <c r="P69" s="1"/>
      <c r="Q69" s="1"/>
      <c r="R69" s="1"/>
      <c r="S69" s="1"/>
      <c r="T69" s="1"/>
      <c r="U69" s="1"/>
      <c r="V69" s="1"/>
      <c r="BH69" s="14"/>
    </row>
    <row r="70" spans="7:60" x14ac:dyDescent="0.25">
      <c r="G70" s="21"/>
      <c r="H70" s="21"/>
      <c r="I70" s="21"/>
      <c r="J70" s="21"/>
      <c r="K70" s="21"/>
      <c r="L70" s="36"/>
      <c r="N70" s="1"/>
      <c r="O70" s="1"/>
      <c r="P70" s="1"/>
      <c r="Q70" s="1"/>
      <c r="R70" s="1"/>
      <c r="S70" s="1"/>
      <c r="T70" s="1"/>
      <c r="U70" s="1"/>
      <c r="V70" s="1"/>
      <c r="BH70" s="14"/>
    </row>
    <row r="71" spans="7:60" x14ac:dyDescent="0.25">
      <c r="G71" s="21"/>
      <c r="H71" s="21"/>
      <c r="I71" s="21"/>
      <c r="J71" s="21"/>
      <c r="K71" s="21"/>
      <c r="L71" s="36"/>
      <c r="N71" s="1"/>
      <c r="O71" s="1"/>
      <c r="P71" s="1"/>
      <c r="Q71" s="1"/>
      <c r="R71" s="1"/>
      <c r="S71" s="1"/>
      <c r="T71" s="1"/>
      <c r="U71" s="1"/>
      <c r="V71" s="1"/>
      <c r="BH71" s="14"/>
    </row>
    <row r="72" spans="7:60" x14ac:dyDescent="0.25">
      <c r="G72" s="21"/>
      <c r="H72" s="21"/>
      <c r="I72" s="21"/>
      <c r="J72" s="21"/>
      <c r="K72" s="21"/>
      <c r="L72" s="36"/>
      <c r="N72" s="1"/>
      <c r="O72" s="1"/>
      <c r="P72" s="1"/>
      <c r="Q72" s="1"/>
      <c r="R72" s="1"/>
      <c r="S72" s="1"/>
      <c r="T72" s="1"/>
      <c r="U72" s="1"/>
      <c r="V72" s="1"/>
      <c r="BH72" s="14"/>
    </row>
    <row r="73" spans="7:60" x14ac:dyDescent="0.25">
      <c r="G73" s="21"/>
      <c r="H73" s="21"/>
      <c r="I73" s="21"/>
      <c r="J73" s="21"/>
      <c r="K73" s="21"/>
      <c r="L73" s="36"/>
      <c r="N73" s="1"/>
      <c r="O73" s="1"/>
      <c r="P73" s="1"/>
      <c r="Q73" s="1"/>
      <c r="R73" s="1"/>
      <c r="S73" s="1"/>
      <c r="T73" s="1"/>
      <c r="U73" s="1"/>
      <c r="V73" s="1"/>
      <c r="BH73" s="14"/>
    </row>
    <row r="74" spans="7:60" x14ac:dyDescent="0.25">
      <c r="G74" s="21"/>
      <c r="H74" s="21"/>
      <c r="I74" s="21"/>
      <c r="J74" s="21"/>
      <c r="K74" s="21"/>
      <c r="L74" s="36"/>
      <c r="N74" s="1"/>
      <c r="O74" s="1"/>
      <c r="P74" s="1"/>
      <c r="Q74" s="1"/>
      <c r="R74" s="1"/>
      <c r="S74" s="1"/>
      <c r="T74" s="1"/>
      <c r="U74" s="1"/>
      <c r="V74" s="1"/>
      <c r="BH74" s="14"/>
    </row>
    <row r="75" spans="7:60" x14ac:dyDescent="0.25">
      <c r="G75" s="21"/>
      <c r="H75" s="21"/>
      <c r="I75" s="21"/>
      <c r="J75" s="21"/>
      <c r="K75" s="21"/>
      <c r="L75" s="36"/>
      <c r="N75" s="1"/>
      <c r="O75" s="1"/>
      <c r="P75" s="1"/>
      <c r="Q75" s="1"/>
      <c r="R75" s="1"/>
      <c r="S75" s="1"/>
      <c r="T75" s="1"/>
      <c r="U75" s="1"/>
      <c r="V75" s="1"/>
      <c r="BH75" s="14"/>
    </row>
    <row r="76" spans="7:60" x14ac:dyDescent="0.25">
      <c r="G76" s="21"/>
      <c r="H76" s="21"/>
      <c r="I76" s="21"/>
      <c r="J76" s="21"/>
      <c r="K76" s="21"/>
      <c r="L76" s="36"/>
      <c r="N76" s="1"/>
      <c r="O76" s="1"/>
      <c r="P76" s="1"/>
      <c r="Q76" s="1"/>
      <c r="R76" s="1"/>
      <c r="S76" s="1"/>
      <c r="T76" s="1"/>
      <c r="U76" s="1"/>
      <c r="V76" s="1"/>
      <c r="BH76" s="14"/>
    </row>
    <row r="77" spans="7:60" x14ac:dyDescent="0.25">
      <c r="G77" s="21"/>
      <c r="H77" s="21"/>
      <c r="I77" s="21"/>
      <c r="J77" s="21"/>
      <c r="K77" s="21"/>
      <c r="L77" s="36"/>
      <c r="N77" s="1"/>
      <c r="O77" s="1"/>
      <c r="P77" s="1"/>
      <c r="Q77" s="1"/>
      <c r="R77" s="1"/>
      <c r="S77" s="1"/>
      <c r="T77" s="1"/>
      <c r="U77" s="1"/>
      <c r="V77" s="1"/>
      <c r="BH77" s="14"/>
    </row>
    <row r="78" spans="7:60" x14ac:dyDescent="0.25">
      <c r="G78" s="21"/>
      <c r="H78" s="21"/>
      <c r="I78" s="21"/>
      <c r="J78" s="21"/>
      <c r="K78" s="21"/>
      <c r="L78" s="36"/>
      <c r="N78" s="1"/>
      <c r="O78" s="1"/>
      <c r="P78" s="1"/>
      <c r="Q78" s="1"/>
      <c r="R78" s="1"/>
      <c r="S78" s="1"/>
      <c r="T78" s="1"/>
      <c r="U78" s="1"/>
      <c r="V78" s="1"/>
      <c r="BH78" s="14"/>
    </row>
  </sheetData>
  <mergeCells count="7">
    <mergeCell ref="B2:F2"/>
    <mergeCell ref="G2:K2"/>
    <mergeCell ref="N2:V2"/>
    <mergeCell ref="W2:AE2"/>
    <mergeCell ref="AF2:AN2"/>
    <mergeCell ref="AO2:AW2"/>
    <mergeCell ref="AX2:BF2"/>
  </mergeCells>
  <hyperlinks>
    <hyperlink ref="AO14" r:id="rId1"/>
    <hyperlink ref="W14" r:id="rId2"/>
    <hyperlink ref="AX14" r:id="rId3"/>
    <hyperlink ref="N14" r:id="rId4"/>
    <hyperlink ref="BH14" r:id="rId5"/>
    <hyperlink ref="G14" r:id="rId6"/>
    <hyperlink ref="AF14" r:id="rId7"/>
    <hyperlink ref="G17" r:id="rId8"/>
    <hyperlink ref="G15" r:id="rId9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 DÕI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server</cp:lastModifiedBy>
  <dcterms:created xsi:type="dcterms:W3CDTF">2025-12-31T03:28:22Z</dcterms:created>
  <dcterms:modified xsi:type="dcterms:W3CDTF">2026-03-16T12:54:04Z</dcterms:modified>
</cp:coreProperties>
</file>